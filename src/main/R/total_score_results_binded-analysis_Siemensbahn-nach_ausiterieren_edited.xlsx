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uardo Lima\Documents\TUB\Studium\Masterarbeit_git\matsim-berlin\src\main\R\"/>
    </mc:Choice>
  </mc:AlternateContent>
  <xr:revisionPtr revIDLastSave="0" documentId="8_{6B01A0B2-BEEA-4E85-B9ED-965819F7CD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6" i="1"/>
  <c r="I5" i="1"/>
  <c r="I4" i="1"/>
  <c r="I3" i="1"/>
  <c r="G7" i="1"/>
  <c r="G6" i="1"/>
  <c r="G5" i="1"/>
  <c r="G4" i="1"/>
  <c r="G3" i="1"/>
  <c r="E7" i="1"/>
  <c r="E6" i="1"/>
  <c r="E5" i="1"/>
  <c r="E4" i="1"/>
  <c r="E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<sst xmlns="http://schemas.openxmlformats.org/spreadsheetml/2006/main" count="15" uniqueCount="12">
  <si>
    <t>Scenario</t>
  </si>
  <si>
    <t>Total Score</t>
  </si>
  <si>
    <t>Base Case</t>
  </si>
  <si>
    <t>Base Case_seed1234</t>
  </si>
  <si>
    <t>Base Case_seed2345</t>
  </si>
  <si>
    <t>Siemensbahn</t>
  </si>
  <si>
    <t>Siemensbahn+v1</t>
  </si>
  <si>
    <t>Siemensbahn+v2</t>
  </si>
  <si>
    <t>Total Score 
DNG-Agents</t>
  </si>
  <si>
    <t>Total Score 
Berlin-Agents</t>
  </si>
  <si>
    <t>Total Score 
BB-Agents</t>
  </si>
  <si>
    <t>Delta to Base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</si>
</sst>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1" fontId="0" fillId="3" borderId="1" xfId="0" applyNumberFormat="1" applyFill="1" applyBorder="1"/>
    <xf numFmtId="1" fontId="0" fillId="2" borderId="1" xfId="0" applyNumberFormat="1" applyFill="1" applyBorder="1"/>
    <xf numFmtId="1" fontId="0" fillId="6" borderId="1" xfId="0" applyNumberFormat="1" applyFill="1" applyBorder="1"/>
    <xf numFmtId="1" fontId="0" fillId="4" borderId="1" xfId="0" applyNumberFormat="1" applyFill="1" applyBorder="1"/>
    <xf numFmtId="1" fontId="0" fillId="5" borderId="1" xfId="0" applyNumberFormat="1" applyFill="1" applyBorder="1"/>
    <xf numFmtId="1" fontId="0" fillId="7" borderId="1" xfId="0" applyNumberFormat="1" applyFill="1" applyBorder="1"/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20.140625" customWidth="1"/>
    <col min="2" max="9" width="14.140625" customWidth="1"/>
  </cols>
  <sheetData>
    <row r="1" spans="1:9" s="1" customFormat="1" ht="30" x14ac:dyDescent="0.25">
      <c r="A1" s="3" t="s">
        <v>0</v>
      </c>
      <c r="B1" s="4" t="s">
        <v>1</v>
      </c>
      <c r="C1" s="4" t="s">
        <v>11</v>
      </c>
      <c r="D1" s="5" t="s">
        <v>8</v>
      </c>
      <c r="E1" s="5" t="s">
        <v>11</v>
      </c>
      <c r="F1" s="6" t="s">
        <v>9</v>
      </c>
      <c r="G1" s="6" t="s">
        <v>11</v>
      </c>
      <c r="H1" s="7" t="s">
        <v>10</v>
      </c>
      <c r="I1" s="7" t="s">
        <v>11</v>
      </c>
    </row>
    <row r="2" spans="1:9" x14ac:dyDescent="0.25">
      <c r="A2" s="8" t="s">
        <v>2</v>
      </c>
      <c r="B2" s="9">
        <v>58038111.076310657</v>
      </c>
      <c r="C2" s="10"/>
      <c r="D2" s="11">
        <v>85551.389002646029</v>
      </c>
      <c r="E2" s="10"/>
      <c r="F2" s="12">
        <v>44819875.965416081</v>
      </c>
      <c r="G2" s="10"/>
      <c r="H2" s="13">
        <v>13132683.72189193</v>
      </c>
      <c r="I2" s="10"/>
    </row>
    <row r="3" spans="1:9" x14ac:dyDescent="0.25">
      <c r="A3" s="8" t="s">
        <v>3</v>
      </c>
      <c r="B3" s="9">
        <v>58037504.557369463</v>
      </c>
      <c r="C3" s="9">
        <f>B3-B$2</f>
        <v>-606.51894119381905</v>
      </c>
      <c r="D3" s="11">
        <v>85555.26670324782</v>
      </c>
      <c r="E3" s="11">
        <f>D3-D$2</f>
        <v>3.8777006017917302</v>
      </c>
      <c r="F3" s="12">
        <v>44819881.895877399</v>
      </c>
      <c r="G3" s="12">
        <f>F3-F$2</f>
        <v>5.9304613173007965</v>
      </c>
      <c r="H3" s="13">
        <v>13132067.39478882</v>
      </c>
      <c r="I3" s="13">
        <f>H3-H$2</f>
        <v>-616.32710311003029</v>
      </c>
    </row>
    <row r="4" spans="1:9" x14ac:dyDescent="0.25">
      <c r="A4" s="8" t="s">
        <v>4</v>
      </c>
      <c r="B4" s="9">
        <v>58036311.679069251</v>
      </c>
      <c r="C4" s="9">
        <f t="shared" ref="C4:E7" si="0">B4-B$2</f>
        <v>-1799.3972414061427</v>
      </c>
      <c r="D4" s="11">
        <v>85512.562290462069</v>
      </c>
      <c r="E4" s="11">
        <f t="shared" si="0"/>
        <v>-38.826712183959899</v>
      </c>
      <c r="F4" s="12">
        <v>44818516.044986233</v>
      </c>
      <c r="G4" s="12">
        <f t="shared" ref="G4" si="1">F4-F$2</f>
        <v>-1359.9204298481345</v>
      </c>
      <c r="H4" s="13">
        <v>13132283.07179256</v>
      </c>
      <c r="I4" s="13">
        <f t="shared" ref="I4" si="2">H4-H$2</f>
        <v>-400.6500993706286</v>
      </c>
    </row>
    <row r="5" spans="1:9" x14ac:dyDescent="0.25">
      <c r="A5" s="8" t="s">
        <v>5</v>
      </c>
      <c r="B5" s="9">
        <v>58037654.722062074</v>
      </c>
      <c r="C5" s="9">
        <f t="shared" si="0"/>
        <v>-456.3542485833168</v>
      </c>
      <c r="D5" s="11">
        <v>85838.495808167456</v>
      </c>
      <c r="E5" s="11">
        <f t="shared" si="0"/>
        <v>287.1068055214273</v>
      </c>
      <c r="F5" s="12">
        <v>44818955.592128113</v>
      </c>
      <c r="G5" s="14">
        <f t="shared" ref="G5" si="3">F5-F$2</f>
        <v>-920.37328796833754</v>
      </c>
      <c r="H5" s="13">
        <v>13132860.634125801</v>
      </c>
      <c r="I5" s="13">
        <f t="shared" ref="I5" si="4">H5-H$2</f>
        <v>176.91223387047648</v>
      </c>
    </row>
    <row r="6" spans="1:9" x14ac:dyDescent="0.25">
      <c r="A6" s="8" t="s">
        <v>6</v>
      </c>
      <c r="B6" s="9">
        <v>58045535.531206779</v>
      </c>
      <c r="C6" s="9">
        <f t="shared" si="0"/>
        <v>7424.4548961222172</v>
      </c>
      <c r="D6" s="11">
        <v>85903.323680561371</v>
      </c>
      <c r="E6" s="11">
        <f t="shared" si="0"/>
        <v>351.93467791534204</v>
      </c>
      <c r="F6" s="12">
        <v>44825476.847683787</v>
      </c>
      <c r="G6" s="12">
        <f t="shared" ref="G6" si="5">F6-F$2</f>
        <v>5600.8822677060962</v>
      </c>
      <c r="H6" s="13">
        <v>13134155.35984242</v>
      </c>
      <c r="I6" s="13">
        <f t="shared" ref="I6" si="6">H6-H$2</f>
        <v>1471.6379504892975</v>
      </c>
    </row>
    <row r="7" spans="1:9" x14ac:dyDescent="0.25">
      <c r="A7" s="8" t="s">
        <v>7</v>
      </c>
      <c r="B7" s="9">
        <v>58042259.131072298</v>
      </c>
      <c r="C7" s="9">
        <f t="shared" si="0"/>
        <v>4148.0547616407275</v>
      </c>
      <c r="D7" s="11">
        <v>85856.697671291375</v>
      </c>
      <c r="E7" s="11">
        <f t="shared" si="0"/>
        <v>305.30866864534619</v>
      </c>
      <c r="F7" s="12">
        <v>44822576.821433537</v>
      </c>
      <c r="G7" s="12">
        <f t="shared" ref="G7" si="7">F7-F$2</f>
        <v>2700.8560174554586</v>
      </c>
      <c r="H7" s="13">
        <v>13133825.61196747</v>
      </c>
      <c r="I7" s="13">
        <f t="shared" ref="I7" si="8">H7-H$2</f>
        <v>1141.8900755401701</v>
      </c>
    </row>
    <row r="9" spans="1:9" x14ac:dyDescent="0.25">
      <c r="B9" s="2"/>
    </row>
    <row r="10" spans="1:9" x14ac:dyDescent="0.25">
      <c r="B10" s="2"/>
    </row>
    <row r="11" spans="1:9" x14ac:dyDescent="0.25">
      <c r="B11" s="2"/>
    </row>
    <row r="12" spans="1:9" x14ac:dyDescent="0.25">
      <c r="B12" s="2"/>
    </row>
    <row r="13" spans="1:9" x14ac:dyDescent="0.25">
      <c r="B13" s="2"/>
    </row>
    <row r="14" spans="1:9" x14ac:dyDescent="0.25">
      <c r="B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Eduardo de Almeida Lima</cp:lastModifiedBy>
  <dcterms:created xsi:type="dcterms:W3CDTF">2025-10-27T19:48:59Z</dcterms:created>
  <dcterms:modified xsi:type="dcterms:W3CDTF">2025-10-27T21:52:58Z</dcterms:modified>
</cp:coreProperties>
</file>