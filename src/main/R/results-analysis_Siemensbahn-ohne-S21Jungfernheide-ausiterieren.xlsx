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do Lima\Documents\TUB\Studium\Masterarbeit_git\matsim-berlin\src\main\R\"/>
    </mc:Choice>
  </mc:AlternateContent>
  <xr:revisionPtr revIDLastSave="0" documentId="8_{5B6B7704-CB70-43EA-A81C-86BE658841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M5" i="1"/>
  <c r="M4" i="1"/>
  <c r="M3" i="1"/>
  <c r="K5" i="1"/>
  <c r="K4" i="1"/>
  <c r="K3" i="1"/>
  <c r="E4" i="1"/>
  <c r="E5" i="1"/>
  <c r="C4" i="1"/>
  <c r="C5" i="1"/>
  <c r="E3" i="1"/>
  <c r="C3" i="1"/>
</calcChain>
</file>

<file path=xl/sharedStrings.xml><?xml version="1.0" encoding="utf-8"?>
<sst xmlns="http://schemas.openxmlformats.org/spreadsheetml/2006/main" count="17" uniqueCount="16">
  <si>
    <t>Scenario</t>
  </si>
  <si>
    <t>Total Monetized Score [EUR/day]</t>
  </si>
  <si>
    <t>Total Monetized Score Delimited Region [EUR/day]</t>
  </si>
  <si>
    <t>Total Travel Time for PT-Users [h/day]</t>
  </si>
  <si>
    <t>Total Transfers [1/day]</t>
  </si>
  <si>
    <t>Total Car-km [km/day]</t>
  </si>
  <si>
    <t>Base Case</t>
  </si>
  <si>
    <t>Siemensbahn</t>
  </si>
  <si>
    <t>Diff to Base Case [EUR/day]</t>
  </si>
  <si>
    <t>Total Travel Time in PT for Former Car-Users in Base Case [h/day]</t>
  </si>
  <si>
    <t>Total Travel Time for Remaining PT-Users from Base Case [h/day]</t>
  </si>
  <si>
    <t>Siemensbahn+v1</t>
  </si>
  <si>
    <t>Siemensbahn+v2</t>
  </si>
  <si>
    <t>Diff to Base Case [1/day]</t>
  </si>
  <si>
    <t>Diff to Base Case [km/day]</t>
  </si>
  <si>
    <t>Diff to Base Case [h/day]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</si>
</sst>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3" fontId="0" fillId="0" borderId="1" xfId="0" applyNumberFormat="1" applyBorder="1"/>
    <xf numFmtId="3" fontId="2" fillId="2" borderId="1" xfId="0" applyNumberFormat="1" applyFont="1" applyFill="1" applyBorder="1" applyAlignment="1">
      <alignment wrapText="1"/>
    </xf>
    <xf numFmtId="3" fontId="3" fillId="0" borderId="1" xfId="0" applyNumberFormat="1" applyFont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topLeftCell="D1" workbookViewId="0">
      <selection activeCell="I8" sqref="I8"/>
    </sheetView>
  </sheetViews>
  <sheetFormatPr baseColWidth="10" defaultColWidth="9.140625" defaultRowHeight="15" x14ac:dyDescent="0.25"/>
  <cols>
    <col min="1" max="13" width="20" customWidth="1"/>
  </cols>
  <sheetData>
    <row r="1" spans="1:13" s="1" customFormat="1" ht="60" x14ac:dyDescent="0.25">
      <c r="A1" s="2" t="s">
        <v>0</v>
      </c>
      <c r="B1" s="2" t="s">
        <v>1</v>
      </c>
      <c r="C1" s="2" t="s">
        <v>8</v>
      </c>
      <c r="D1" s="2" t="s">
        <v>2</v>
      </c>
      <c r="E1" s="2" t="s">
        <v>8</v>
      </c>
      <c r="F1" s="2" t="s">
        <v>3</v>
      </c>
      <c r="G1" s="2" t="s">
        <v>9</v>
      </c>
      <c r="H1" s="2" t="s">
        <v>10</v>
      </c>
      <c r="I1" s="2" t="s">
        <v>15</v>
      </c>
      <c r="J1" s="2" t="s">
        <v>4</v>
      </c>
      <c r="K1" s="2" t="s">
        <v>13</v>
      </c>
      <c r="L1" s="2" t="s">
        <v>5</v>
      </c>
      <c r="M1" s="2" t="s">
        <v>14</v>
      </c>
    </row>
    <row r="2" spans="1:13" x14ac:dyDescent="0.25">
      <c r="A2" s="3" t="s">
        <v>6</v>
      </c>
      <c r="B2" s="4">
        <v>577758076.27977991</v>
      </c>
      <c r="C2" s="5"/>
      <c r="D2" s="4">
        <v>21808131.968951229</v>
      </c>
      <c r="E2" s="5"/>
      <c r="F2" s="6">
        <v>276979.04916666669</v>
      </c>
      <c r="G2" s="7">
        <v>3254.73</v>
      </c>
      <c r="H2" s="8">
        <v>270010.87599999999</v>
      </c>
      <c r="I2" s="5"/>
      <c r="J2" s="6">
        <v>266913</v>
      </c>
      <c r="K2" s="5"/>
      <c r="L2" s="6">
        <v>4514604.3449999997</v>
      </c>
      <c r="M2" s="5"/>
    </row>
    <row r="3" spans="1:13" x14ac:dyDescent="0.25">
      <c r="A3" s="3" t="s">
        <v>7</v>
      </c>
      <c r="B3" s="4">
        <v>577686297.25839734</v>
      </c>
      <c r="C3" s="4">
        <f>B3-B$2</f>
        <v>-71779.021382570267</v>
      </c>
      <c r="D3" s="4">
        <v>21827838.550770171</v>
      </c>
      <c r="E3" s="4">
        <f>D3-D$2</f>
        <v>19706.581818941981</v>
      </c>
      <c r="F3" s="6">
        <v>277538.06416666659</v>
      </c>
      <c r="G3" s="6">
        <v>5092.29</v>
      </c>
      <c r="H3" s="8">
        <v>269962.625</v>
      </c>
      <c r="I3" s="6">
        <f>H3-H$2</f>
        <v>-48.25099999998929</v>
      </c>
      <c r="J3" s="6">
        <v>266953</v>
      </c>
      <c r="K3" s="6">
        <f>J3-J$2</f>
        <v>40</v>
      </c>
      <c r="L3" s="6">
        <v>4508901.7149999999</v>
      </c>
      <c r="M3" s="6">
        <f>L3-L$2</f>
        <v>-5702.6299999998882</v>
      </c>
    </row>
    <row r="4" spans="1:13" x14ac:dyDescent="0.25">
      <c r="A4" s="3" t="s">
        <v>11</v>
      </c>
      <c r="B4" s="4">
        <v>577792258.83604789</v>
      </c>
      <c r="C4" s="4">
        <f>B4-B$2</f>
        <v>34182.556267976761</v>
      </c>
      <c r="D4" s="4">
        <v>21847699.318542141</v>
      </c>
      <c r="E4" s="4">
        <f>D4-D$2</f>
        <v>39567.349590912461</v>
      </c>
      <c r="F4" s="6">
        <v>277636.7913888889</v>
      </c>
      <c r="G4" s="6"/>
      <c r="H4" s="8"/>
      <c r="I4" s="6"/>
      <c r="J4" s="6">
        <v>266886</v>
      </c>
      <c r="K4" s="6">
        <f t="shared" ref="K4:M5" si="0">J4-J$2</f>
        <v>-27</v>
      </c>
      <c r="L4" s="6">
        <v>4507408.8650000002</v>
      </c>
      <c r="M4" s="6">
        <f t="shared" si="0"/>
        <v>-7195.4799999995157</v>
      </c>
    </row>
    <row r="5" spans="1:13" x14ac:dyDescent="0.25">
      <c r="A5" s="3" t="s">
        <v>12</v>
      </c>
      <c r="B5" s="4">
        <v>577830827.14625168</v>
      </c>
      <c r="C5" s="4">
        <f>B5-B$2</f>
        <v>72750.866471767426</v>
      </c>
      <c r="D5" s="4">
        <v>21844314.12200892</v>
      </c>
      <c r="E5" s="4">
        <f>D5-D$2</f>
        <v>36182.15305769071</v>
      </c>
      <c r="F5" s="6">
        <v>277445.63194444438</v>
      </c>
      <c r="G5" s="6"/>
      <c r="H5" s="8"/>
      <c r="I5" s="6"/>
      <c r="J5" s="6">
        <v>266531</v>
      </c>
      <c r="K5" s="6">
        <f t="shared" si="0"/>
        <v>-382</v>
      </c>
      <c r="L5" s="6">
        <v>4513263.7960000001</v>
      </c>
      <c r="M5" s="6">
        <f t="shared" si="0"/>
        <v>-1340.5489999996498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de Almeida Lima</dc:creator>
  <cp:lastModifiedBy>Eduardo de Almeida Lima</cp:lastModifiedBy>
  <dcterms:created xsi:type="dcterms:W3CDTF">2025-09-03T20:40:37Z</dcterms:created>
  <dcterms:modified xsi:type="dcterms:W3CDTF">2025-10-02T15:37:03Z</dcterms:modified>
</cp:coreProperties>
</file>