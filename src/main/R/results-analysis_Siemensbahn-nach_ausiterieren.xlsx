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Lima\Documents\TUB\Studium\Masterarbeit_git\matsim-berlin\src\main\R\"/>
    </mc:Choice>
  </mc:AlternateContent>
  <xr:revisionPtr revIDLastSave="0" documentId="13_ncr:1_{8B42D698-D46F-4210-828C-74AC9F3847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1" i="1"/>
  <c r="C12" i="1"/>
  <c r="C13" i="1"/>
  <c r="C11" i="1"/>
  <c r="K12" i="1"/>
  <c r="K13" i="1"/>
  <c r="K11" i="1"/>
  <c r="M12" i="1"/>
  <c r="M13" i="1"/>
  <c r="M11" i="1"/>
  <c r="C4" i="1"/>
  <c r="E4" i="1"/>
  <c r="I4" i="1"/>
  <c r="K4" i="1"/>
  <c r="M4" i="1"/>
  <c r="C5" i="1"/>
  <c r="E5" i="1"/>
  <c r="K5" i="1"/>
  <c r="M5" i="1"/>
  <c r="C6" i="1"/>
  <c r="E6" i="1"/>
  <c r="K6" i="1"/>
  <c r="M6" i="1"/>
</calcChain>
</file>

<file path=xl/sharedStrings.xml><?xml version="1.0" encoding="utf-8"?>
<sst xmlns="http://schemas.openxmlformats.org/spreadsheetml/2006/main" count="36" uniqueCount="18">
  <si>
    <t>Scenario</t>
  </si>
  <si>
    <t>Total Monetized Score [EUR/day]</t>
  </si>
  <si>
    <t>Total Monetized Score Delimited Region [EUR/day]</t>
  </si>
  <si>
    <t>Total Travel Time for PT-Users [h/day]</t>
  </si>
  <si>
    <t>Total Transfers [1/day]</t>
  </si>
  <si>
    <t>Total Car-km [km/day]</t>
  </si>
  <si>
    <t>Base Case</t>
  </si>
  <si>
    <t>Siemensbahn</t>
  </si>
  <si>
    <t>Siemensbahn+v1</t>
  </si>
  <si>
    <t>Siemensbahn+v2</t>
  </si>
  <si>
    <t>Diff to Base Case [km/day]</t>
  </si>
  <si>
    <t>Diff to Base Case [1/day]</t>
  </si>
  <si>
    <t>Diff to Base Case [h/day]</t>
  </si>
  <si>
    <t>Total Travel Time for Remaining PT-Users from Base Case [h/day]</t>
  </si>
  <si>
    <t>Total Travel Time in PT for Former Car-Users in Base Case [h/day]</t>
  </si>
  <si>
    <t>Diff to Base Case [EUR/day]</t>
  </si>
  <si>
    <t>WITHOUT FURTHER ITERATION S21 JUNGFERNHEIDE</t>
  </si>
  <si>
    <t>AFTER 3900 ITERATIONS S21 JUNGFERNHEIDE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</si>
</sst>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3" fontId="0" fillId="0" borderId="1" xfId="0" applyNumberFormat="1" applyBorder="1"/>
    <xf numFmtId="3" fontId="3" fillId="0" borderId="1" xfId="0" applyNumberFormat="1" applyFont="1" applyBorder="1"/>
    <xf numFmtId="164" fontId="0" fillId="0" borderId="1" xfId="0" applyNumberFormat="1" applyBorder="1"/>
    <xf numFmtId="0" fontId="0" fillId="0" borderId="1" xfId="0" applyBorder="1"/>
    <xf numFmtId="164" fontId="0" fillId="2" borderId="1" xfId="0" applyNumberFormat="1" applyFill="1" applyBorder="1"/>
    <xf numFmtId="3" fontId="2" fillId="2" borderId="1" xfId="0" applyNumberFormat="1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3" fontId="0" fillId="3" borderId="1" xfId="0" applyNumberForma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L15" sqref="L15"/>
    </sheetView>
  </sheetViews>
  <sheetFormatPr baseColWidth="10" defaultColWidth="9.140625" defaultRowHeight="15" x14ac:dyDescent="0.25"/>
  <cols>
    <col min="1" max="13" width="19.85546875" customWidth="1"/>
  </cols>
  <sheetData>
    <row r="1" spans="1:13" x14ac:dyDescent="0.25">
      <c r="A1" s="10" t="s">
        <v>16</v>
      </c>
    </row>
    <row r="2" spans="1:13" s="8" customFormat="1" ht="60" x14ac:dyDescent="0.25">
      <c r="A2" s="9" t="s">
        <v>0</v>
      </c>
      <c r="B2" s="9" t="s">
        <v>1</v>
      </c>
      <c r="C2" s="9" t="s">
        <v>15</v>
      </c>
      <c r="D2" s="9" t="s">
        <v>2</v>
      </c>
      <c r="E2" s="9" t="s">
        <v>15</v>
      </c>
      <c r="F2" s="9" t="s">
        <v>3</v>
      </c>
      <c r="G2" s="9" t="s">
        <v>14</v>
      </c>
      <c r="H2" s="9" t="s">
        <v>13</v>
      </c>
      <c r="I2" s="9" t="s">
        <v>12</v>
      </c>
      <c r="J2" s="9" t="s">
        <v>4</v>
      </c>
      <c r="K2" s="9" t="s">
        <v>11</v>
      </c>
      <c r="L2" s="9" t="s">
        <v>5</v>
      </c>
      <c r="M2" s="9" t="s">
        <v>10</v>
      </c>
    </row>
    <row r="3" spans="1:13" x14ac:dyDescent="0.25">
      <c r="A3" s="5" t="s">
        <v>6</v>
      </c>
      <c r="B3" s="4">
        <v>577758076.27977991</v>
      </c>
      <c r="C3" s="6"/>
      <c r="D3" s="4">
        <v>21808131.968951229</v>
      </c>
      <c r="E3" s="6"/>
      <c r="F3" s="2">
        <v>276979.04916666669</v>
      </c>
      <c r="G3" s="7">
        <v>3254.73</v>
      </c>
      <c r="H3" s="3">
        <v>270010.87599999999</v>
      </c>
      <c r="I3" s="6"/>
      <c r="J3" s="2">
        <v>266913</v>
      </c>
      <c r="K3" s="6"/>
      <c r="L3" s="2">
        <v>4514604.3449999997</v>
      </c>
      <c r="M3" s="6"/>
    </row>
    <row r="4" spans="1:13" x14ac:dyDescent="0.25">
      <c r="A4" s="5" t="s">
        <v>7</v>
      </c>
      <c r="B4" s="4">
        <v>577686297.25839734</v>
      </c>
      <c r="C4" s="4">
        <f>B4-B$3</f>
        <v>-71779.021382570267</v>
      </c>
      <c r="D4" s="4">
        <v>21827838.550770171</v>
      </c>
      <c r="E4" s="4">
        <f>D4-D$3</f>
        <v>19706.581818941981</v>
      </c>
      <c r="F4" s="2">
        <v>277538.06416666659</v>
      </c>
      <c r="G4" s="2">
        <v>5092.29</v>
      </c>
      <c r="H4" s="3">
        <v>269962.625</v>
      </c>
      <c r="I4" s="2">
        <f>H4-H$3</f>
        <v>-48.25099999998929</v>
      </c>
      <c r="J4" s="2">
        <v>266953</v>
      </c>
      <c r="K4" s="2">
        <f>J4-J$3</f>
        <v>40</v>
      </c>
      <c r="L4" s="2">
        <v>4508901.7149999999</v>
      </c>
      <c r="M4" s="2">
        <f>L4-L$3</f>
        <v>-5702.6299999998882</v>
      </c>
    </row>
    <row r="5" spans="1:13" x14ac:dyDescent="0.25">
      <c r="A5" s="5" t="s">
        <v>8</v>
      </c>
      <c r="B5" s="4">
        <v>577792258.83604789</v>
      </c>
      <c r="C5" s="4">
        <f>B5-B$3</f>
        <v>34182.556267976761</v>
      </c>
      <c r="D5" s="4">
        <v>21847699.318542141</v>
      </c>
      <c r="E5" s="4">
        <f>D5-D$3</f>
        <v>39567.349590912461</v>
      </c>
      <c r="F5" s="2">
        <v>277636.7913888889</v>
      </c>
      <c r="G5" s="2"/>
      <c r="H5" s="3"/>
      <c r="I5" s="2"/>
      <c r="J5" s="2">
        <v>266886</v>
      </c>
      <c r="K5" s="2">
        <f>J5-J$3</f>
        <v>-27</v>
      </c>
      <c r="L5" s="2">
        <v>4507408.8650000002</v>
      </c>
      <c r="M5" s="2">
        <f>L5-L$3</f>
        <v>-7195.4799999995157</v>
      </c>
    </row>
    <row r="6" spans="1:13" x14ac:dyDescent="0.25">
      <c r="A6" s="5" t="s">
        <v>9</v>
      </c>
      <c r="B6" s="4">
        <v>577830827.14625168</v>
      </c>
      <c r="C6" s="4">
        <f>B6-B$3</f>
        <v>72750.866471767426</v>
      </c>
      <c r="D6" s="4">
        <v>21844314.12200892</v>
      </c>
      <c r="E6" s="4">
        <f>D6-D$3</f>
        <v>36182.15305769071</v>
      </c>
      <c r="F6" s="2">
        <v>277445.63194444438</v>
      </c>
      <c r="G6" s="2"/>
      <c r="H6" s="3"/>
      <c r="I6" s="2"/>
      <c r="J6" s="2">
        <v>266531</v>
      </c>
      <c r="K6" s="2">
        <f>J6-J$3</f>
        <v>-382</v>
      </c>
      <c r="L6" s="2">
        <v>4513263.7960000001</v>
      </c>
      <c r="M6" s="2">
        <f>L6-L$3</f>
        <v>-1340.5489999996498</v>
      </c>
    </row>
    <row r="8" spans="1:13" x14ac:dyDescent="0.25">
      <c r="A8" s="10" t="s">
        <v>17</v>
      </c>
    </row>
    <row r="9" spans="1:13" s="1" customFormat="1" ht="60" x14ac:dyDescent="0.25">
      <c r="A9" s="9" t="s">
        <v>0</v>
      </c>
      <c r="B9" s="9" t="s">
        <v>1</v>
      </c>
      <c r="C9" s="9" t="s">
        <v>15</v>
      </c>
      <c r="D9" s="9" t="s">
        <v>2</v>
      </c>
      <c r="E9" s="9" t="s">
        <v>15</v>
      </c>
      <c r="F9" s="9" t="s">
        <v>3</v>
      </c>
      <c r="G9" s="9" t="s">
        <v>14</v>
      </c>
      <c r="H9" s="9" t="s">
        <v>13</v>
      </c>
      <c r="I9" s="9" t="s">
        <v>12</v>
      </c>
      <c r="J9" s="9" t="s">
        <v>4</v>
      </c>
      <c r="K9" s="9" t="s">
        <v>11</v>
      </c>
      <c r="L9" s="9" t="s">
        <v>5</v>
      </c>
      <c r="M9" s="9" t="s">
        <v>10</v>
      </c>
    </row>
    <row r="10" spans="1:13" x14ac:dyDescent="0.25">
      <c r="A10" s="5" t="s">
        <v>6</v>
      </c>
      <c r="B10" s="4">
        <v>580049642.21230555</v>
      </c>
      <c r="C10" s="6"/>
      <c r="D10" s="4">
        <v>21917861.018698651</v>
      </c>
      <c r="E10" s="6"/>
      <c r="F10" s="2">
        <v>276630.40277777781</v>
      </c>
      <c r="G10" s="11"/>
      <c r="H10" s="11"/>
      <c r="I10" s="11"/>
      <c r="J10" s="2">
        <v>268576</v>
      </c>
      <c r="K10" s="6"/>
      <c r="L10" s="2">
        <v>4457408.32</v>
      </c>
      <c r="M10" s="6"/>
    </row>
    <row r="11" spans="1:13" x14ac:dyDescent="0.25">
      <c r="A11" s="5" t="s">
        <v>7</v>
      </c>
      <c r="B11" s="4">
        <v>580031915.05434632</v>
      </c>
      <c r="C11" s="4">
        <f>B11-B$10</f>
        <v>-17727.157959222794</v>
      </c>
      <c r="D11" s="4">
        <v>21929278.11605572</v>
      </c>
      <c r="E11" s="4">
        <f>D11-D$10</f>
        <v>11417.097357068211</v>
      </c>
      <c r="F11" s="2">
        <v>277082.07416666672</v>
      </c>
      <c r="G11" s="11"/>
      <c r="H11" s="11"/>
      <c r="I11" s="11"/>
      <c r="J11" s="2">
        <v>268455</v>
      </c>
      <c r="K11" s="2">
        <f>J11-J$10</f>
        <v>-121</v>
      </c>
      <c r="L11" s="2">
        <v>4452660.2810000004</v>
      </c>
      <c r="M11" s="2">
        <f>L11-L$10</f>
        <v>-4748.0389999998733</v>
      </c>
    </row>
    <row r="12" spans="1:13" x14ac:dyDescent="0.25">
      <c r="A12" s="5" t="s">
        <v>8</v>
      </c>
      <c r="B12" s="4">
        <v>580137759.55203581</v>
      </c>
      <c r="C12" s="4">
        <f t="shared" ref="C12:C13" si="0">B12-B$10</f>
        <v>88117.339730262756</v>
      </c>
      <c r="D12" s="4">
        <v>21952800.229774799</v>
      </c>
      <c r="E12" s="4">
        <f t="shared" ref="E12:E13" si="1">D12-D$10</f>
        <v>34939.211076147854</v>
      </c>
      <c r="F12" s="2">
        <v>277209.99361111107</v>
      </c>
      <c r="G12" s="11"/>
      <c r="H12" s="11"/>
      <c r="I12" s="11"/>
      <c r="J12" s="2">
        <v>268149</v>
      </c>
      <c r="K12" s="2">
        <f t="shared" ref="K12:K13" si="2">J12-J$10</f>
        <v>-427</v>
      </c>
      <c r="L12" s="2">
        <v>4449663.7350000003</v>
      </c>
      <c r="M12" s="2">
        <f t="shared" ref="M12:M13" si="3">L12-L$10</f>
        <v>-7744.5849999999627</v>
      </c>
    </row>
    <row r="13" spans="1:13" x14ac:dyDescent="0.25">
      <c r="A13" s="5" t="s">
        <v>9</v>
      </c>
      <c r="B13" s="4">
        <v>580094899.56868303</v>
      </c>
      <c r="C13" s="4">
        <f t="shared" si="0"/>
        <v>45257.356377482414</v>
      </c>
      <c r="D13" s="4">
        <v>21944151.72866765</v>
      </c>
      <c r="E13" s="4">
        <f t="shared" si="1"/>
        <v>26290.709968999028</v>
      </c>
      <c r="F13" s="2">
        <v>277136.52166666673</v>
      </c>
      <c r="G13" s="11"/>
      <c r="H13" s="11"/>
      <c r="I13" s="11"/>
      <c r="J13" s="2">
        <v>268037</v>
      </c>
      <c r="K13" s="2">
        <f t="shared" si="2"/>
        <v>-539</v>
      </c>
      <c r="L13" s="2">
        <v>4451039.824</v>
      </c>
      <c r="M13" s="2">
        <f t="shared" si="3"/>
        <v>-6368.4960000002757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de Almeida Lima</cp:lastModifiedBy>
  <dcterms:created xsi:type="dcterms:W3CDTF">2025-10-25T14:34:21Z</dcterms:created>
  <dcterms:modified xsi:type="dcterms:W3CDTF">2025-10-26T16:01:24Z</dcterms:modified>
</cp:coreProperties>
</file>