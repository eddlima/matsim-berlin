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Lima\Documents\TUB\Studium\Masterarbeit_git\matsim-berlin\src\main\R\"/>
    </mc:Choice>
  </mc:AlternateContent>
  <xr:revisionPtr revIDLastSave="0" documentId="8_{0887D136-71B9-4198-BEA8-7B0896FB543B}" xr6:coauthVersionLast="47" xr6:coauthVersionMax="47" xr10:uidLastSave="{00000000-0000-0000-0000-000000000000}"/>
  <bookViews>
    <workbookView xWindow="-25320" yWindow="-4455" windowWidth="25440" windowHeight="15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G11" i="1"/>
  <c r="G10" i="1"/>
  <c r="G9" i="1"/>
  <c r="E11" i="1"/>
  <c r="E10" i="1"/>
  <c r="E9" i="1"/>
  <c r="C10" i="1"/>
  <c r="C11" i="1"/>
  <c r="C9" i="1"/>
  <c r="I5" i="1"/>
  <c r="I4" i="1"/>
  <c r="I3" i="1"/>
  <c r="G5" i="1"/>
  <c r="G4" i="1"/>
  <c r="G3" i="1"/>
  <c r="E5" i="1"/>
  <c r="E4" i="1"/>
  <c r="E3" i="1"/>
  <c r="C5" i="1"/>
  <c r="C4" i="1"/>
  <c r="C3" i="1"/>
</calcChain>
</file>

<file path=xl/sharedStrings.xml><?xml version="1.0" encoding="utf-8"?>
<sst xmlns="http://schemas.openxmlformats.org/spreadsheetml/2006/main" count="26" uniqueCount="12">
  <si>
    <t>Scenario</t>
  </si>
  <si>
    <t>Total Score</t>
  </si>
  <si>
    <t>Total Score DNG-Agents</t>
  </si>
  <si>
    <t>Total Score Berlin-Agents</t>
  </si>
  <si>
    <t>Total Score BB-Agents</t>
  </si>
  <si>
    <t>Total Score - Delimited Region</t>
  </si>
  <si>
    <t>Total Score DNG-Agents - Delimited Region</t>
  </si>
  <si>
    <t>Total Score Berlin-Agents - Delimited Region</t>
  </si>
  <si>
    <t>Total Score BB-Agents - Delimited Region</t>
  </si>
  <si>
    <t>Base Case</t>
  </si>
  <si>
    <t>Siemensbahn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</si>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</sst>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3" fontId="3" fillId="2" borderId="1" xfId="0" applyNumberFormat="1" applyFont="1" applyFill="1" applyBorder="1" applyAlignment="1">
      <alignment wrapText="1"/>
    </xf>
    <xf numFmtId="3" fontId="3" fillId="0" borderId="1" xfId="0" applyNumberFormat="1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9.140625" style="3" customWidth="1"/>
    <col min="2" max="2" width="28.140625" style="3" bestFit="1" customWidth="1"/>
    <col min="3" max="3" width="39.85546875" style="3" bestFit="1" customWidth="1"/>
    <col min="4" max="4" width="41" style="3" bestFit="1" customWidth="1"/>
    <col min="5" max="5" width="38" style="3" bestFit="1" customWidth="1"/>
    <col min="6" max="6" width="28.140625" style="3" bestFit="1" customWidth="1"/>
    <col min="7" max="7" width="39.85546875" style="3" bestFit="1" customWidth="1"/>
    <col min="8" max="8" width="41" style="3" bestFit="1" customWidth="1"/>
    <col min="9" max="9" width="38" style="3" bestFit="1" customWidth="1"/>
    <col min="10" max="16384" width="9.140625" style="3"/>
  </cols>
  <sheetData>
    <row r="1" spans="1:9" s="2" customFormat="1" x14ac:dyDescent="0.25">
      <c r="A1" s="2" t="s">
        <v>0</v>
      </c>
      <c r="B1" s="2" t="s">
        <v>1</v>
      </c>
      <c r="C1" s="1" t="s">
        <v>11</v>
      </c>
      <c r="D1" s="2" t="s">
        <v>2</v>
      </c>
      <c r="E1" s="1" t="s">
        <v>11</v>
      </c>
      <c r="F1" s="2" t="s">
        <v>3</v>
      </c>
      <c r="G1" s="1" t="s">
        <v>11</v>
      </c>
      <c r="H1" s="2" t="s">
        <v>4</v>
      </c>
      <c r="I1" s="1" t="s">
        <v>11</v>
      </c>
    </row>
    <row r="2" spans="1:9" x14ac:dyDescent="0.25">
      <c r="A2" s="3" t="s">
        <v>9</v>
      </c>
      <c r="B2" s="3">
        <v>58038111.076310657</v>
      </c>
      <c r="C2" s="4"/>
      <c r="D2" s="3">
        <v>85551.389002646029</v>
      </c>
      <c r="E2" s="4"/>
      <c r="F2" s="3">
        <v>44819875.965416081</v>
      </c>
      <c r="G2" s="4"/>
      <c r="H2" s="3">
        <v>13132683.72189193</v>
      </c>
      <c r="I2" s="4"/>
    </row>
    <row r="3" spans="1:9" x14ac:dyDescent="0.25">
      <c r="A3" s="3" t="s">
        <v>10</v>
      </c>
      <c r="B3" s="3">
        <v>58037654.722062074</v>
      </c>
      <c r="C3" s="5">
        <f t="shared" ref="C3:I5" si="0">B3-B$2</f>
        <v>-456.3542485833168</v>
      </c>
      <c r="D3" s="3">
        <v>85838.495808167456</v>
      </c>
      <c r="E3" s="5">
        <f t="shared" si="0"/>
        <v>287.1068055214273</v>
      </c>
      <c r="F3" s="3">
        <v>44818955.592128113</v>
      </c>
      <c r="G3" s="5">
        <f t="shared" si="0"/>
        <v>-920.37328796833754</v>
      </c>
      <c r="H3" s="3">
        <v>13132860.634125801</v>
      </c>
      <c r="I3" s="5">
        <f t="shared" si="0"/>
        <v>176.91223387047648</v>
      </c>
    </row>
    <row r="4" spans="1:9" x14ac:dyDescent="0.25">
      <c r="A4" s="3" t="s">
        <v>10</v>
      </c>
      <c r="B4" s="3">
        <v>58045535.531206779</v>
      </c>
      <c r="C4" s="5">
        <f t="shared" si="0"/>
        <v>7424.4548961222172</v>
      </c>
      <c r="D4" s="3">
        <v>85903.323680561371</v>
      </c>
      <c r="E4" s="5">
        <f t="shared" si="0"/>
        <v>351.93467791534204</v>
      </c>
      <c r="F4" s="3">
        <v>44825476.847683787</v>
      </c>
      <c r="G4" s="5">
        <f t="shared" si="0"/>
        <v>5600.8822677060962</v>
      </c>
      <c r="H4" s="3">
        <v>13134155.35984242</v>
      </c>
      <c r="I4" s="5">
        <f t="shared" si="0"/>
        <v>1471.6379504892975</v>
      </c>
    </row>
    <row r="5" spans="1:9" x14ac:dyDescent="0.25">
      <c r="A5" s="3" t="s">
        <v>10</v>
      </c>
      <c r="B5" s="3">
        <v>58042259.131072298</v>
      </c>
      <c r="C5" s="5">
        <f t="shared" si="0"/>
        <v>4148.0547616407275</v>
      </c>
      <c r="D5" s="3">
        <v>85856.697671291375</v>
      </c>
      <c r="E5" s="5">
        <f t="shared" si="0"/>
        <v>305.30866864534619</v>
      </c>
      <c r="F5" s="3">
        <v>44822576.821433537</v>
      </c>
      <c r="G5" s="5">
        <f t="shared" si="0"/>
        <v>2700.8560174554586</v>
      </c>
      <c r="H5" s="3">
        <v>13133825.61196747</v>
      </c>
      <c r="I5" s="5">
        <f t="shared" si="0"/>
        <v>1141.8900755401701</v>
      </c>
    </row>
    <row r="7" spans="1:9" ht="30" x14ac:dyDescent="0.25">
      <c r="A7" s="2" t="s">
        <v>0</v>
      </c>
      <c r="B7" s="2" t="s">
        <v>5</v>
      </c>
      <c r="C7" s="1" t="s">
        <v>11</v>
      </c>
      <c r="D7" s="2" t="s">
        <v>6</v>
      </c>
      <c r="E7" s="1" t="s">
        <v>11</v>
      </c>
      <c r="F7" s="2" t="s">
        <v>7</v>
      </c>
      <c r="G7" s="1" t="s">
        <v>11</v>
      </c>
      <c r="H7" s="2" t="s">
        <v>8</v>
      </c>
      <c r="I7" s="1" t="s">
        <v>11</v>
      </c>
    </row>
    <row r="8" spans="1:9" x14ac:dyDescent="0.25">
      <c r="A8" s="3" t="s">
        <v>9</v>
      </c>
      <c r="B8" s="3">
        <v>3467756.6656080531</v>
      </c>
      <c r="C8" s="4"/>
      <c r="D8" s="3">
        <v>85907.665000517794</v>
      </c>
      <c r="E8" s="4"/>
      <c r="F8" s="3">
        <v>3167899.1229169979</v>
      </c>
      <c r="G8" s="4"/>
      <c r="H8" s="3">
        <v>213949.87769053731</v>
      </c>
      <c r="I8" s="4"/>
    </row>
    <row r="9" spans="1:9" x14ac:dyDescent="0.25">
      <c r="A9" s="3" t="s">
        <v>10</v>
      </c>
      <c r="B9" s="3">
        <v>3468995.5069133411</v>
      </c>
      <c r="C9" s="5">
        <f>B9-B$8</f>
        <v>1238.8413052880205</v>
      </c>
      <c r="D9" s="3">
        <v>86194.771806039222</v>
      </c>
      <c r="E9" s="5">
        <f>D9-D$8</f>
        <v>287.1068055214273</v>
      </c>
      <c r="F9" s="3">
        <v>3168811.7644348419</v>
      </c>
      <c r="G9" s="5">
        <f>F9-F$8</f>
        <v>912.64151784405112</v>
      </c>
      <c r="H9" s="3">
        <v>213988.97067245969</v>
      </c>
      <c r="I9" s="5">
        <f>H9-H$8</f>
        <v>39.092981922382023</v>
      </c>
    </row>
    <row r="10" spans="1:9" x14ac:dyDescent="0.25">
      <c r="A10" s="3" t="s">
        <v>10</v>
      </c>
      <c r="B10" s="3">
        <v>3471366.869950172</v>
      </c>
      <c r="C10" s="5">
        <f t="shared" ref="C10:E11" si="1">B10-B$8</f>
        <v>3610.2043421189301</v>
      </c>
      <c r="D10" s="3">
        <v>86259.599678433136</v>
      </c>
      <c r="E10" s="5">
        <f t="shared" si="1"/>
        <v>351.93467791534204</v>
      </c>
      <c r="F10" s="3">
        <v>3170970.5631336509</v>
      </c>
      <c r="G10" s="5">
        <f t="shared" ref="G10:I10" si="2">F10-F$8</f>
        <v>3071.440216653049</v>
      </c>
      <c r="H10" s="3">
        <v>214136.70713808789</v>
      </c>
      <c r="I10" s="5">
        <f t="shared" si="2"/>
        <v>186.8294475505827</v>
      </c>
    </row>
    <row r="11" spans="1:9" x14ac:dyDescent="0.25">
      <c r="A11" s="3" t="s">
        <v>10</v>
      </c>
      <c r="B11" s="3">
        <v>3470718.2925594118</v>
      </c>
      <c r="C11" s="5">
        <f t="shared" si="1"/>
        <v>2961.6269513587467</v>
      </c>
      <c r="D11" s="3">
        <v>86212.973669163141</v>
      </c>
      <c r="E11" s="5">
        <f t="shared" si="1"/>
        <v>305.30866864534619</v>
      </c>
      <c r="F11" s="3">
        <v>3170417.9120728942</v>
      </c>
      <c r="G11" s="5">
        <f t="shared" ref="G11:I11" si="3">F11-F$8</f>
        <v>2518.7891558962874</v>
      </c>
      <c r="H11" s="3">
        <v>214087.40681735519</v>
      </c>
      <c r="I11" s="5">
        <f t="shared" si="3"/>
        <v>137.52912681788439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de Almeida Lima</cp:lastModifiedBy>
  <dcterms:created xsi:type="dcterms:W3CDTF">2025-11-20T19:01:12Z</dcterms:created>
  <dcterms:modified xsi:type="dcterms:W3CDTF">2025-11-20T19:06:44Z</dcterms:modified>
</cp:coreProperties>
</file>