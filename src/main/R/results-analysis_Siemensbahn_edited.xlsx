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Lima\Documents\TUB\Studium\Masterarbeit_git\matsim-berlin\src\main\R\"/>
    </mc:Choice>
  </mc:AlternateContent>
  <xr:revisionPtr revIDLastSave="0" documentId="13_ncr:1_{C9911E0A-146B-4F5E-8F56-8B51E83BF3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  <c r="K5" i="1"/>
  <c r="K4" i="1"/>
  <c r="K3" i="1"/>
  <c r="G11" i="1"/>
  <c r="F11" i="1"/>
  <c r="G10" i="1"/>
  <c r="F10" i="1"/>
  <c r="G9" i="1"/>
  <c r="F9" i="1"/>
  <c r="D10" i="1"/>
  <c r="D11" i="1"/>
  <c r="D9" i="1"/>
  <c r="C10" i="1"/>
  <c r="C11" i="1"/>
  <c r="C9" i="1"/>
  <c r="D26" i="1" l="1"/>
  <c r="E21" i="1"/>
  <c r="E22" i="1"/>
  <c r="E20" i="1"/>
  <c r="D21" i="1"/>
  <c r="D22" i="1"/>
  <c r="D20" i="1"/>
  <c r="E16" i="1"/>
  <c r="E17" i="1"/>
  <c r="E15" i="1"/>
  <c r="I5" i="1"/>
  <c r="I4" i="1"/>
  <c r="I3" i="1"/>
  <c r="G5" i="1"/>
  <c r="G4" i="1"/>
  <c r="G3" i="1"/>
  <c r="E5" i="1"/>
  <c r="E4" i="1"/>
  <c r="E3" i="1"/>
  <c r="C4" i="1" l="1"/>
  <c r="C5" i="1"/>
  <c r="C3" i="1"/>
</calcChain>
</file>

<file path=xl/sharedStrings.xml><?xml version="1.0" encoding="utf-8"?>
<sst xmlns="http://schemas.openxmlformats.org/spreadsheetml/2006/main" count="63" uniqueCount="34">
  <si>
    <t>Scenario</t>
  </si>
  <si>
    <t>Total Monetized Score Delimited Region [EUR/day]</t>
  </si>
  <si>
    <t>Total Transfers [1/day]</t>
  </si>
  <si>
    <t>Total Car-km [km/day]</t>
  </si>
  <si>
    <t>Base Case</t>
  </si>
  <si>
    <t>Siemensbahn</t>
  </si>
  <si>
    <t>Delta [EUR/day]</t>
  </si>
  <si>
    <t>Siemensbahn+V1</t>
  </si>
  <si>
    <t>Siemensbahn+V2</t>
  </si>
  <si>
    <t>Delta [h/day]</t>
  </si>
  <si>
    <t>Delta [km/day]</t>
  </si>
  <si>
    <t xml:space="preserve">Benefits </t>
  </si>
  <si>
    <t>Scenario compared to 
Base Case</t>
  </si>
  <si>
    <t>MATSim’s Monetized Scoring 
[K EUR/year]</t>
  </si>
  <si>
    <t>% to MATSim's Monetized Scoring</t>
  </si>
  <si>
    <t>Operational Costs
[K EUR/year]</t>
  </si>
  <si>
    <t>Benefit-Cost Ratio</t>
  </si>
  <si>
    <t>Agents</t>
  </si>
  <si>
    <t>Walking Time [min]</t>
  </si>
  <si>
    <t>Walking Distance [m]</t>
  </si>
  <si>
    <t>All Agents to/from any Railway Station</t>
  </si>
  <si>
    <t>Delta [%]</t>
  </si>
  <si>
    <t>DNG Agents to/from Gartenfeld Station</t>
  </si>
  <si>
    <t>% of Passengers of new S-Bahn line Represented in the Delimited Region through Trips File</t>
  </si>
  <si>
    <t>% of Passengers of new S-Bahn line Represented in the Delimited Region through Legs File</t>
  </si>
  <si>
    <t>Monetized Score for 10% Poorer [EUR/day]</t>
  </si>
  <si>
    <t>Monetized Score for 10% Richer [EUR/day]</t>
  </si>
  <si>
    <t>Total Travel Distance for PT Users [km/day]</t>
  </si>
  <si>
    <t>Total Travel Time for PT Users [h/day]</t>
  </si>
  <si>
    <t>Mean Travel Distance for PT Users [km/day]</t>
  </si>
  <si>
    <t>Simulation Data Analysis 
(based on StB) 
[K EUR/year]</t>
  </si>
  <si>
    <t>Total Costs 
[K EUR]</t>
  </si>
  <si>
    <t>Total Benefits 
[K EUR]</t>
  </si>
  <si>
    <t>Net Benefit 
[K EUR]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</si>
</sst>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3" fontId="2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3" fontId="3" fillId="0" borderId="1" xfId="0" applyNumberFormat="1" applyFont="1" applyBorder="1"/>
    <xf numFmtId="3" fontId="3" fillId="2" borderId="1" xfId="0" applyNumberFormat="1" applyFont="1" applyFill="1" applyBorder="1"/>
    <xf numFmtId="3" fontId="3" fillId="0" borderId="0" xfId="0" applyNumberFormat="1" applyFont="1"/>
    <xf numFmtId="9" fontId="3" fillId="0" borderId="1" xfId="1" applyFont="1" applyBorder="1"/>
    <xf numFmtId="4" fontId="3" fillId="0" borderId="1" xfId="0" applyNumberFormat="1" applyFont="1" applyBorder="1"/>
    <xf numFmtId="166" fontId="3" fillId="0" borderId="1" xfId="1" applyNumberFormat="1" applyFont="1" applyBorder="1"/>
    <xf numFmtId="10" fontId="3" fillId="0" borderId="1" xfId="1" applyNumberFormat="1" applyFont="1" applyBorder="1"/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9" fontId="3" fillId="0" borderId="1" xfId="1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sqref="A1:H1048576"/>
    </sheetView>
  </sheetViews>
  <sheetFormatPr baseColWidth="10" defaultColWidth="17.42578125" defaultRowHeight="15.75" x14ac:dyDescent="0.25"/>
  <cols>
    <col min="1" max="1" width="22.28515625" style="5" customWidth="1"/>
    <col min="2" max="5" width="18.5703125" style="5" customWidth="1"/>
    <col min="6" max="6" width="28.5703125" style="5" customWidth="1"/>
    <col min="7" max="9" width="25.7109375" style="5" customWidth="1"/>
    <col min="10" max="10" width="28.5703125" style="5" customWidth="1"/>
    <col min="11" max="11" width="25.7109375" style="5" customWidth="1"/>
    <col min="12" max="12" width="28.5703125" style="5" customWidth="1"/>
    <col min="13" max="13" width="25.7109375" style="5" customWidth="1"/>
    <col min="14" max="16384" width="17.42578125" style="5"/>
  </cols>
  <sheetData>
    <row r="1" spans="1:13" s="2" customFormat="1" ht="37.5" customHeight="1" x14ac:dyDescent="0.25">
      <c r="A1" s="1" t="s">
        <v>0</v>
      </c>
      <c r="B1" s="1" t="s">
        <v>1</v>
      </c>
      <c r="C1" s="1" t="s">
        <v>6</v>
      </c>
      <c r="D1" s="1" t="s">
        <v>28</v>
      </c>
      <c r="E1" s="1" t="s">
        <v>9</v>
      </c>
      <c r="F1" s="1" t="s">
        <v>27</v>
      </c>
      <c r="G1" s="1" t="s">
        <v>10</v>
      </c>
      <c r="H1" s="20" t="s">
        <v>29</v>
      </c>
      <c r="I1" s="20" t="s">
        <v>10</v>
      </c>
      <c r="J1" s="1" t="s">
        <v>2</v>
      </c>
      <c r="K1" s="1" t="s">
        <v>10</v>
      </c>
      <c r="L1" s="1" t="s">
        <v>3</v>
      </c>
      <c r="M1" s="1" t="s">
        <v>10</v>
      </c>
    </row>
    <row r="2" spans="1:13" x14ac:dyDescent="0.25">
      <c r="A2" s="3" t="s">
        <v>4</v>
      </c>
      <c r="B2" s="3">
        <v>34571122.147855841</v>
      </c>
      <c r="C2" s="4"/>
      <c r="D2" s="3">
        <v>232421.50277777779</v>
      </c>
      <c r="E2" s="4"/>
      <c r="F2" s="3">
        <v>3974066.18</v>
      </c>
      <c r="G2" s="4"/>
      <c r="H2" s="7">
        <v>35.215470000000003</v>
      </c>
      <c r="I2" s="21"/>
      <c r="J2" s="3">
        <v>262510</v>
      </c>
      <c r="K2" s="4"/>
      <c r="L2" s="3">
        <v>3117796.79</v>
      </c>
      <c r="M2" s="4"/>
    </row>
    <row r="3" spans="1:13" x14ac:dyDescent="0.25">
      <c r="A3" s="3" t="s">
        <v>5</v>
      </c>
      <c r="B3" s="3">
        <v>34582072.368908137</v>
      </c>
      <c r="C3" s="3">
        <f t="shared" ref="C3:M5" si="0">B3-B$2</f>
        <v>10950.22105229646</v>
      </c>
      <c r="D3" s="3">
        <v>234691.4666666667</v>
      </c>
      <c r="E3" s="3">
        <f t="shared" si="0"/>
        <v>2269.9638888889167</v>
      </c>
      <c r="F3" s="3">
        <v>4026098.48</v>
      </c>
      <c r="G3" s="3">
        <f t="shared" si="0"/>
        <v>52032.299999999814</v>
      </c>
      <c r="H3" s="7">
        <v>35.223959999999998</v>
      </c>
      <c r="I3" s="7">
        <f t="shared" si="0"/>
        <v>8.4899999999947795E-3</v>
      </c>
      <c r="J3" s="3">
        <v>260510</v>
      </c>
      <c r="K3" s="3">
        <f t="shared" si="0"/>
        <v>-2000</v>
      </c>
      <c r="L3" s="3">
        <v>3085751.61</v>
      </c>
      <c r="M3" s="3">
        <f t="shared" si="0"/>
        <v>-32045.180000000168</v>
      </c>
    </row>
    <row r="4" spans="1:13" x14ac:dyDescent="0.25">
      <c r="A4" s="3" t="s">
        <v>7</v>
      </c>
      <c r="B4" s="3">
        <v>34606654.219710387</v>
      </c>
      <c r="C4" s="3">
        <f t="shared" si="0"/>
        <v>35532.071854546666</v>
      </c>
      <c r="D4" s="3">
        <v>236038.79166666669</v>
      </c>
      <c r="E4" s="3">
        <f t="shared" si="0"/>
        <v>3617.2888888888992</v>
      </c>
      <c r="F4" s="3">
        <v>4052065.81</v>
      </c>
      <c r="G4" s="3">
        <f t="shared" si="0"/>
        <v>77999.629999999888</v>
      </c>
      <c r="H4" s="7">
        <v>35.131489999999999</v>
      </c>
      <c r="I4" s="7">
        <f t="shared" si="0"/>
        <v>-8.398000000000394E-2</v>
      </c>
      <c r="J4" s="3">
        <v>257890</v>
      </c>
      <c r="K4" s="3">
        <f t="shared" si="0"/>
        <v>-4620</v>
      </c>
      <c r="L4" s="3">
        <v>3058709.49</v>
      </c>
      <c r="M4" s="3">
        <f t="shared" si="0"/>
        <v>-59087.299999999814</v>
      </c>
    </row>
    <row r="5" spans="1:13" x14ac:dyDescent="0.25">
      <c r="A5" s="3" t="s">
        <v>8</v>
      </c>
      <c r="B5" s="3">
        <v>34599049.779677667</v>
      </c>
      <c r="C5" s="3">
        <f t="shared" si="0"/>
        <v>27927.6318218261</v>
      </c>
      <c r="D5" s="3">
        <v>237194.7027777778</v>
      </c>
      <c r="E5" s="3">
        <f t="shared" si="0"/>
        <v>4773.2000000000116</v>
      </c>
      <c r="F5" s="3">
        <v>4060263</v>
      </c>
      <c r="G5" s="3">
        <f t="shared" si="0"/>
        <v>86196.819999999832</v>
      </c>
      <c r="H5" s="7">
        <v>35.102130000000002</v>
      </c>
      <c r="I5" s="7">
        <f t="shared" si="0"/>
        <v>-0.11334000000000088</v>
      </c>
      <c r="J5" s="3">
        <v>258060</v>
      </c>
      <c r="K5" s="3">
        <f t="shared" si="0"/>
        <v>-4450</v>
      </c>
      <c r="L5" s="3">
        <v>3041458.76</v>
      </c>
      <c r="M5" s="3">
        <f t="shared" si="0"/>
        <v>-76338.030000000261</v>
      </c>
    </row>
    <row r="7" spans="1:13" ht="63" x14ac:dyDescent="0.25">
      <c r="A7" s="1" t="s">
        <v>0</v>
      </c>
      <c r="B7" s="1" t="s">
        <v>25</v>
      </c>
      <c r="C7" s="1" t="s">
        <v>6</v>
      </c>
      <c r="D7" s="1" t="s">
        <v>21</v>
      </c>
      <c r="E7" s="1" t="s">
        <v>26</v>
      </c>
      <c r="F7" s="1" t="s">
        <v>6</v>
      </c>
      <c r="G7" s="1" t="s">
        <v>21</v>
      </c>
    </row>
    <row r="8" spans="1:13" x14ac:dyDescent="0.25">
      <c r="A8" s="3" t="s">
        <v>4</v>
      </c>
      <c r="B8" s="3">
        <v>1138017</v>
      </c>
      <c r="C8" s="4"/>
      <c r="D8" s="4"/>
      <c r="E8" s="3">
        <v>7528755</v>
      </c>
      <c r="F8" s="4"/>
      <c r="G8" s="4"/>
    </row>
    <row r="9" spans="1:13" x14ac:dyDescent="0.25">
      <c r="A9" s="3" t="s">
        <v>5</v>
      </c>
      <c r="B9" s="3">
        <v>1138493</v>
      </c>
      <c r="C9" s="3">
        <f>B9-B$8</f>
        <v>476</v>
      </c>
      <c r="D9" s="9">
        <f>B9/B$8-1</f>
        <v>4.1827143179751225E-4</v>
      </c>
      <c r="E9" s="3">
        <v>7530445</v>
      </c>
      <c r="F9" s="3">
        <f>E9-E$8</f>
        <v>1690</v>
      </c>
      <c r="G9" s="9">
        <f>E9/E$8-1</f>
        <v>2.2447270498249239E-4</v>
      </c>
    </row>
    <row r="10" spans="1:13" x14ac:dyDescent="0.25">
      <c r="A10" s="3" t="s">
        <v>7</v>
      </c>
      <c r="B10" s="3">
        <v>1138903</v>
      </c>
      <c r="C10" s="3">
        <f t="shared" ref="C10:C11" si="1">B10-B$8</f>
        <v>886</v>
      </c>
      <c r="D10" s="9">
        <f t="shared" ref="D10:D11" si="2">B10/B$8-1</f>
        <v>7.7854724490045157E-4</v>
      </c>
      <c r="E10" s="3">
        <v>7537493</v>
      </c>
      <c r="F10" s="3">
        <f t="shared" ref="F10:F11" si="3">E10-E$8</f>
        <v>8738</v>
      </c>
      <c r="G10" s="9">
        <f t="shared" ref="G10:G11" si="4">E10/E$8-1</f>
        <v>1.1606168616191681E-3</v>
      </c>
    </row>
    <row r="11" spans="1:13" x14ac:dyDescent="0.25">
      <c r="A11" s="3" t="s">
        <v>8</v>
      </c>
      <c r="B11" s="3">
        <v>1138826</v>
      </c>
      <c r="C11" s="3">
        <f t="shared" si="1"/>
        <v>809</v>
      </c>
      <c r="D11" s="9">
        <f t="shared" si="2"/>
        <v>7.1088568975685718E-4</v>
      </c>
      <c r="E11" s="3">
        <v>7533938</v>
      </c>
      <c r="F11" s="3">
        <f t="shared" si="3"/>
        <v>5183</v>
      </c>
      <c r="G11" s="9">
        <f t="shared" si="4"/>
        <v>6.8842723664142014E-4</v>
      </c>
    </row>
    <row r="13" spans="1:13" ht="15" customHeight="1" x14ac:dyDescent="0.25">
      <c r="A13" s="10" t="s">
        <v>12</v>
      </c>
      <c r="B13" s="12" t="s">
        <v>11</v>
      </c>
      <c r="C13" s="13"/>
      <c r="D13" s="14"/>
      <c r="E13" s="10" t="s">
        <v>14</v>
      </c>
    </row>
    <row r="14" spans="1:13" ht="63" x14ac:dyDescent="0.25">
      <c r="A14" s="11"/>
      <c r="B14" s="1" t="s">
        <v>15</v>
      </c>
      <c r="C14" s="1" t="s">
        <v>13</v>
      </c>
      <c r="D14" s="1" t="s">
        <v>30</v>
      </c>
      <c r="E14" s="11"/>
    </row>
    <row r="15" spans="1:13" x14ac:dyDescent="0.25">
      <c r="A15" s="3" t="s">
        <v>5</v>
      </c>
      <c r="B15" s="3">
        <v>1167.4537919861602</v>
      </c>
      <c r="C15" s="3">
        <v>6396.4273382396277</v>
      </c>
      <c r="D15" s="3">
        <v>7273.4260711200186</v>
      </c>
      <c r="E15" s="6">
        <f>D15/C15-1</f>
        <v>0.13710758936280687</v>
      </c>
    </row>
    <row r="16" spans="1:13" x14ac:dyDescent="0.25">
      <c r="A16" s="3" t="s">
        <v>7</v>
      </c>
      <c r="B16" s="3">
        <v>2248.9617239723211</v>
      </c>
      <c r="C16" s="3">
        <v>15696.866516401189</v>
      </c>
      <c r="D16" s="3">
        <v>13231.0109364</v>
      </c>
      <c r="E16" s="6">
        <f>D16/C16-1</f>
        <v>-0.15709221820958275</v>
      </c>
    </row>
    <row r="17" spans="1:5" x14ac:dyDescent="0.25">
      <c r="A17" s="3" t="s">
        <v>8</v>
      </c>
      <c r="B17" s="3">
        <v>2217.7086839723206</v>
      </c>
      <c r="C17" s="3">
        <v>14317.747577040784</v>
      </c>
      <c r="D17" s="3">
        <v>13820.789805599972</v>
      </c>
      <c r="E17" s="6">
        <f>D17/C17-1</f>
        <v>-3.4709214474328953E-2</v>
      </c>
    </row>
    <row r="19" spans="1:5" ht="47.25" x14ac:dyDescent="0.25">
      <c r="A19" s="1" t="s">
        <v>12</v>
      </c>
      <c r="B19" s="1" t="s">
        <v>31</v>
      </c>
      <c r="C19" s="1" t="s">
        <v>32</v>
      </c>
      <c r="D19" s="1" t="s">
        <v>33</v>
      </c>
      <c r="E19" s="1" t="s">
        <v>16</v>
      </c>
    </row>
    <row r="20" spans="1:5" x14ac:dyDescent="0.25">
      <c r="A20" s="3" t="s">
        <v>5</v>
      </c>
      <c r="B20" s="3">
        <v>437044.62509015272</v>
      </c>
      <c r="C20" s="3">
        <v>175460.59986734317</v>
      </c>
      <c r="D20" s="3">
        <f>C20-B20</f>
        <v>-261584.02522280955</v>
      </c>
      <c r="E20" s="7">
        <f>C20/B20</f>
        <v>0.40147067323193714</v>
      </c>
    </row>
    <row r="21" spans="1:5" x14ac:dyDescent="0.25">
      <c r="A21" s="3" t="s">
        <v>7</v>
      </c>
      <c r="B21" s="3">
        <v>789535.26928140677</v>
      </c>
      <c r="C21" s="3">
        <v>451250.59841412137</v>
      </c>
      <c r="D21" s="3">
        <f>C21-B21</f>
        <v>-338284.6708672854</v>
      </c>
      <c r="E21" s="7">
        <f>C21/B21</f>
        <v>0.57153950680990573</v>
      </c>
    </row>
    <row r="22" spans="1:5" x14ac:dyDescent="0.25">
      <c r="A22" s="3" t="s">
        <v>8</v>
      </c>
      <c r="B22" s="3">
        <v>1367048.983876169</v>
      </c>
      <c r="C22" s="3">
        <v>406022.34144350397</v>
      </c>
      <c r="D22" s="3">
        <f>C22-B22</f>
        <v>-961026.64243266499</v>
      </c>
      <c r="E22" s="7">
        <f>C22/B22</f>
        <v>0.2970064322730096</v>
      </c>
    </row>
    <row r="24" spans="1:5" ht="31.5" x14ac:dyDescent="0.25">
      <c r="A24" s="1" t="s">
        <v>17</v>
      </c>
      <c r="B24" s="1" t="s">
        <v>18</v>
      </c>
      <c r="C24" s="1" t="s">
        <v>19</v>
      </c>
      <c r="D24" s="1" t="s">
        <v>21</v>
      </c>
    </row>
    <row r="25" spans="1:5" ht="31.5" x14ac:dyDescent="0.25">
      <c r="A25" s="15" t="s">
        <v>20</v>
      </c>
      <c r="B25" s="16">
        <v>7.4822090000000001</v>
      </c>
      <c r="C25" s="17">
        <v>550.79449999999997</v>
      </c>
      <c r="D25" s="18"/>
    </row>
    <row r="26" spans="1:5" ht="31.5" x14ac:dyDescent="0.25">
      <c r="A26" s="15" t="s">
        <v>22</v>
      </c>
      <c r="B26" s="16">
        <v>11.225569999999999</v>
      </c>
      <c r="C26" s="17">
        <v>820.11109999999996</v>
      </c>
      <c r="D26" s="19">
        <f>B26/B25-1</f>
        <v>0.50030158205952269</v>
      </c>
    </row>
    <row r="28" spans="1:5" ht="63" x14ac:dyDescent="0.25">
      <c r="A28" s="1" t="s">
        <v>0</v>
      </c>
      <c r="B28" s="1" t="s">
        <v>23</v>
      </c>
    </row>
    <row r="29" spans="1:5" x14ac:dyDescent="0.25">
      <c r="A29" s="3" t="s">
        <v>4</v>
      </c>
      <c r="B29" s="8">
        <v>0.2233</v>
      </c>
    </row>
    <row r="30" spans="1:5" x14ac:dyDescent="0.25">
      <c r="A30" s="3" t="s">
        <v>5</v>
      </c>
      <c r="B30" s="8">
        <v>0.48039999999999999</v>
      </c>
    </row>
    <row r="31" spans="1:5" x14ac:dyDescent="0.25">
      <c r="A31" s="3" t="s">
        <v>7</v>
      </c>
      <c r="B31" s="8">
        <v>0.58819999999999995</v>
      </c>
    </row>
    <row r="32" spans="1:5" x14ac:dyDescent="0.25">
      <c r="A32" s="3" t="s">
        <v>8</v>
      </c>
      <c r="B32" s="8">
        <v>0.61119999999999997</v>
      </c>
    </row>
    <row r="34" spans="1:2" ht="63" x14ac:dyDescent="0.25">
      <c r="A34" s="1" t="s">
        <v>0</v>
      </c>
      <c r="B34" s="1" t="s">
        <v>24</v>
      </c>
    </row>
    <row r="35" spans="1:2" x14ac:dyDescent="0.25">
      <c r="A35" s="3" t="s">
        <v>4</v>
      </c>
      <c r="B35" s="8">
        <v>0.43669999999999998</v>
      </c>
    </row>
    <row r="36" spans="1:2" x14ac:dyDescent="0.25">
      <c r="A36" s="3" t="s">
        <v>5</v>
      </c>
      <c r="B36" s="8">
        <v>0.68210000000000004</v>
      </c>
    </row>
    <row r="37" spans="1:2" x14ac:dyDescent="0.25">
      <c r="A37" s="3" t="s">
        <v>7</v>
      </c>
      <c r="B37" s="8">
        <v>0.76249999999999996</v>
      </c>
    </row>
    <row r="38" spans="1:2" x14ac:dyDescent="0.25">
      <c r="A38" s="3" t="s">
        <v>8</v>
      </c>
      <c r="B38" s="8">
        <v>0.7429</v>
      </c>
    </row>
  </sheetData>
  <mergeCells count="3">
    <mergeCell ref="A13:A14"/>
    <mergeCell ref="E13:E14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Almeida Lima</dc:creator>
  <cp:lastModifiedBy>Eduardo de Almeida Lima</cp:lastModifiedBy>
  <dcterms:created xsi:type="dcterms:W3CDTF">2025-11-12T12:23:10Z</dcterms:created>
  <dcterms:modified xsi:type="dcterms:W3CDTF">2025-11-22T01:12:55Z</dcterms:modified>
</cp:coreProperties>
</file>