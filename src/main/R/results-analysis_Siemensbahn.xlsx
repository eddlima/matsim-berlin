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uardo Lima\Documents\TUB\Studium\Masterarbeit_git\matsim-berlin\src\main\R\"/>
    </mc:Choice>
  </mc:AlternateContent>
  <xr:revisionPtr revIDLastSave="0" documentId="13_ncr:1_{ECD81AB2-0BBD-400C-98C4-D14E8314960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I4" i="1"/>
  <c r="I3" i="1"/>
  <c r="G5" i="1"/>
  <c r="G4" i="1"/>
  <c r="G3" i="1"/>
  <c r="E5" i="1"/>
  <c r="E4" i="1"/>
  <c r="E3" i="1"/>
  <c r="C4" i="1" l="1"/>
  <c r="C5" i="1"/>
  <c r="C3" i="1"/>
</calcChain>
</file>

<file path=xl/sharedStrings.xml><?xml version="1.0" encoding="utf-8"?>
<sst xmlns="http://schemas.openxmlformats.org/spreadsheetml/2006/main" count="15" uniqueCount="14">
  <si>
    <t>Scenario</t>
  </si>
  <si>
    <t>Total Monetized Score Delimited Region [EUR/day]</t>
  </si>
  <si>
    <t>Total Travel Time for PT-Users [h/day]</t>
  </si>
  <si>
    <t>Total Travel Distance for PT-Users [km/day]</t>
  </si>
  <si>
    <t>Total Transfers [1/day]</t>
  </si>
  <si>
    <t>Total Car-km [km/day]</t>
  </si>
  <si>
    <t>Base Case</t>
  </si>
  <si>
    <t>Siemensbahn</t>
  </si>
  <si>
    <t>Delta [EUR/day]</t>
  </si>
  <si>
    <t>Siemensbahn+V1</t>
  </si>
  <si>
    <t>Siemensbahn+V2</t>
  </si>
  <si>
    <t>Delta [h/day]</t>
  </si>
  <si>
    <t>Delta [km/day]</t>
  </si>
  <si>
    <t>Mean Travel Distance for PT-Users [km/day]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</si>
</sst>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3" fontId="1" fillId="0" borderId="0" xfId="0" applyNumberFormat="1" applyFont="1" applyAlignment="1">
      <alignment horizontal="center"/>
    </xf>
    <xf numFmtId="3" fontId="3" fillId="2" borderId="1" xfId="0" applyNumberFormat="1" applyFont="1" applyFill="1" applyBorder="1"/>
    <xf numFmtId="3" fontId="0" fillId="0" borderId="0" xfId="0" applyNumberFormat="1"/>
    <xf numFmtId="3" fontId="2" fillId="0" borderId="1" xfId="0" applyNumberFormat="1" applyFont="1" applyFill="1" applyBorder="1" applyAlignment="1">
      <alignment horizontal="center" vertical="center" wrapText="1"/>
    </xf>
    <xf numFmtId="3" fontId="3" fillId="0" borderId="1" xfId="0" applyNumberFormat="1" applyFont="1" applyFill="1" applyBorder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I3" sqref="I3:I5"/>
    </sheetView>
  </sheetViews>
  <sheetFormatPr baseColWidth="10" defaultColWidth="9.140625" defaultRowHeight="15" x14ac:dyDescent="0.25"/>
  <cols>
    <col min="1" max="1" width="17.140625" style="3" customWidth="1"/>
    <col min="2" max="5" width="28.5703125" style="3" hidden="1" customWidth="1"/>
    <col min="6" max="9" width="28.5703125" style="3" customWidth="1"/>
    <col min="10" max="11" width="21.140625" style="3" customWidth="1"/>
    <col min="12" max="16384" width="9.140625" style="3"/>
  </cols>
  <sheetData>
    <row r="1" spans="1:11" s="1" customFormat="1" ht="30" x14ac:dyDescent="0.25">
      <c r="A1" s="4" t="s">
        <v>0</v>
      </c>
      <c r="B1" s="4" t="s">
        <v>1</v>
      </c>
      <c r="C1" s="4" t="s">
        <v>8</v>
      </c>
      <c r="D1" s="4" t="s">
        <v>2</v>
      </c>
      <c r="E1" s="4" t="s">
        <v>11</v>
      </c>
      <c r="F1" s="4" t="s">
        <v>3</v>
      </c>
      <c r="G1" s="4" t="s">
        <v>12</v>
      </c>
      <c r="H1" s="4" t="s">
        <v>13</v>
      </c>
      <c r="I1" s="4" t="s">
        <v>12</v>
      </c>
      <c r="J1" s="4" t="s">
        <v>4</v>
      </c>
      <c r="K1" s="4" t="s">
        <v>5</v>
      </c>
    </row>
    <row r="2" spans="1:11" x14ac:dyDescent="0.25">
      <c r="A2" s="5" t="s">
        <v>6</v>
      </c>
      <c r="B2" s="5">
        <v>34571122.147855841</v>
      </c>
      <c r="C2" s="2"/>
      <c r="D2" s="5">
        <v>232421.50277777779</v>
      </c>
      <c r="E2" s="2"/>
      <c r="F2" s="5">
        <v>3974066.18</v>
      </c>
      <c r="G2" s="2"/>
      <c r="H2" s="5"/>
      <c r="I2" s="2"/>
      <c r="J2" s="5">
        <v>262510</v>
      </c>
      <c r="K2" s="5">
        <v>3117796.79</v>
      </c>
    </row>
    <row r="3" spans="1:11" x14ac:dyDescent="0.25">
      <c r="A3" s="5" t="s">
        <v>7</v>
      </c>
      <c r="B3" s="5">
        <v>34582072.368908137</v>
      </c>
      <c r="C3" s="5">
        <f t="shared" ref="C3:I5" si="0">B3-B$2</f>
        <v>10950.22105229646</v>
      </c>
      <c r="D3" s="5">
        <v>234691.4666666667</v>
      </c>
      <c r="E3" s="5">
        <f t="shared" si="0"/>
        <v>2269.9638888889167</v>
      </c>
      <c r="F3" s="5">
        <v>4026098.48</v>
      </c>
      <c r="G3" s="5">
        <f t="shared" si="0"/>
        <v>52032.299999999814</v>
      </c>
      <c r="H3" s="5"/>
      <c r="I3" s="5">
        <f t="shared" si="0"/>
        <v>0</v>
      </c>
      <c r="J3" s="5">
        <v>260510</v>
      </c>
      <c r="K3" s="5">
        <v>3085751.61</v>
      </c>
    </row>
    <row r="4" spans="1:11" x14ac:dyDescent="0.25">
      <c r="A4" s="5" t="s">
        <v>9</v>
      </c>
      <c r="B4" s="5">
        <v>34606654.219710387</v>
      </c>
      <c r="C4" s="5">
        <f t="shared" si="0"/>
        <v>35532.071854546666</v>
      </c>
      <c r="D4" s="5">
        <v>236038.79166666669</v>
      </c>
      <c r="E4" s="5">
        <f t="shared" si="0"/>
        <v>3617.2888888888992</v>
      </c>
      <c r="F4" s="5">
        <v>4052065.81</v>
      </c>
      <c r="G4" s="5">
        <f t="shared" si="0"/>
        <v>77999.629999999888</v>
      </c>
      <c r="H4" s="5"/>
      <c r="I4" s="5">
        <f t="shared" si="0"/>
        <v>0</v>
      </c>
      <c r="J4" s="5">
        <v>257890</v>
      </c>
      <c r="K4" s="5">
        <v>3058709.49</v>
      </c>
    </row>
    <row r="5" spans="1:11" x14ac:dyDescent="0.25">
      <c r="A5" s="5" t="s">
        <v>10</v>
      </c>
      <c r="B5" s="5">
        <v>34599049.779677667</v>
      </c>
      <c r="C5" s="5">
        <f t="shared" si="0"/>
        <v>27927.6318218261</v>
      </c>
      <c r="D5" s="5">
        <v>237194.7027777778</v>
      </c>
      <c r="E5" s="5">
        <f t="shared" si="0"/>
        <v>4773.2000000000116</v>
      </c>
      <c r="F5" s="5">
        <v>4060263</v>
      </c>
      <c r="G5" s="5">
        <f t="shared" si="0"/>
        <v>86196.819999999832</v>
      </c>
      <c r="H5" s="5"/>
      <c r="I5" s="5">
        <f t="shared" si="0"/>
        <v>0</v>
      </c>
      <c r="J5" s="5">
        <v>258060</v>
      </c>
      <c r="K5" s="5">
        <v>3041458.76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Eduardo de Almeida Lima</cp:lastModifiedBy>
  <dcterms:created xsi:type="dcterms:W3CDTF">2025-11-12T12:23:10Z</dcterms:created>
  <dcterms:modified xsi:type="dcterms:W3CDTF">2025-11-14T14:05:54Z</dcterms:modified>
</cp:coreProperties>
</file>