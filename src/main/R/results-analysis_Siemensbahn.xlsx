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uardo Lima\Documents\TUB\Studium\Masterarbeit_git\matsim-berlin\src\main\R\"/>
    </mc:Choice>
  </mc:AlternateContent>
  <xr:revisionPtr revIDLastSave="0" documentId="13_ncr:2001_{AE9FCC89-F9E5-43BE-AF00-4B139FEDA880}" xr6:coauthVersionLast="47" xr6:coauthVersionMax="47" xr10:uidLastSave="{00000000-0000-0000-0000-000000000000}"/>
  <bookViews>
    <workbookView xWindow="-4935" yWindow="-15870" windowWidth="25440" windowHeight="1539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E5" i="1"/>
  <c r="E4" i="1"/>
  <c r="E3" i="1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tc={736561BD-4D1A-4791-81D1-0A00765B182F}</author>
  </authors>
  <commentList>
    <comment ref="G3" authorId="0" shapeId="0" xr:uid="{736561BD-4D1A-4791-81D1-0A00765B182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Total Travel Time in Car in Base Case for these Agents: 10.790 hours</t>
      </text>
    </comment>
  </commentList>
</comments>
</file>

<file path=xl/sharedStrings.xml><?xml version="1.0" encoding="utf-8"?>
<sst xmlns="http://schemas.openxmlformats.org/spreadsheetml/2006/main" count="14" uniqueCount="13">
  <si>
    <t>Scenario</t>
  </si>
  <si>
    <t>Total Monetized Score [EUR/day]</t>
  </si>
  <si>
    <t>Total Monetized Score Delimited Region [EUR/day]</t>
  </si>
  <si>
    <t>Total Travel Time for PT-Users [h/day]</t>
  </si>
  <si>
    <t>Total Transfers [1/day]</t>
  </si>
  <si>
    <t>Total Car-km [km/day]</t>
  </si>
  <si>
    <t>Base Case</t>
  </si>
  <si>
    <t>Siemensbahn</t>
  </si>
  <si>
    <t>Siemensbahn+v1</t>
  </si>
  <si>
    <t>Siemensbahn+v2</t>
  </si>
  <si>
    <t>Diff to Base Case [EUR/day]</t>
  </si>
  <si>
    <t>Total Travel Time in PT for Former Car-Users in Base Case [h/day]</t>
  </si>
  <si>
    <t>Total Travel Time for Remaining PT-Users from Base Case [h/day]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</si>
</sst>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3" fontId="0" fillId="0" borderId="1" xfId="0" applyNumberFormat="1" applyBorder="1"/>
    <xf numFmtId="3" fontId="0" fillId="3" borderId="1" xfId="0" applyNumberFormat="1" applyFill="1" applyBorder="1"/>
    <xf numFmtId="3" fontId="2" fillId="0" borderId="1" xfId="0" applyNumberFormat="1" applyFont="1" applyBorder="1"/>
    <xf numFmtId="3" fontId="2" fillId="3" borderId="1" xfId="0" applyNumberFormat="1" applyFont="1" applyFill="1" applyBorder="1"/>
    <xf numFmtId="3" fontId="0" fillId="4" borderId="1" xfId="0" applyNumberFormat="1" applyFill="1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uardo de Almeida Lima" id="{CA880B87-2CD4-432E-A584-C6664854B856}" userId="9a31f4cde4da338c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" dT="2025-08-28T11:41:42.92" personId="{CA880B87-2CD4-432E-A584-C6664854B856}" id="{736561BD-4D1A-4791-81D1-0A00765B182F}">
    <text>Total Travel Time in Car in Base Case for these Agents: 10.790 hours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workbookViewId="0">
      <selection activeCell="D1" sqref="D1:E1048576"/>
    </sheetView>
  </sheetViews>
  <sheetFormatPr baseColWidth="10" defaultColWidth="9.140625" defaultRowHeight="15" x14ac:dyDescent="0.25"/>
  <cols>
    <col min="1" max="10" width="18.85546875" customWidth="1"/>
  </cols>
  <sheetData>
    <row r="1" spans="1:10" s="1" customFormat="1" ht="60" x14ac:dyDescent="0.25">
      <c r="A1" s="2" t="s">
        <v>0</v>
      </c>
      <c r="B1" s="2" t="s">
        <v>1</v>
      </c>
      <c r="C1" s="2" t="s">
        <v>10</v>
      </c>
      <c r="D1" s="2" t="s">
        <v>2</v>
      </c>
      <c r="E1" s="2" t="s">
        <v>10</v>
      </c>
      <c r="F1" s="2" t="s">
        <v>3</v>
      </c>
      <c r="G1" s="2" t="s">
        <v>11</v>
      </c>
      <c r="H1" s="2" t="s">
        <v>12</v>
      </c>
      <c r="I1" s="2" t="s">
        <v>4</v>
      </c>
      <c r="J1" s="2" t="s">
        <v>5</v>
      </c>
    </row>
    <row r="2" spans="1:10" x14ac:dyDescent="0.25">
      <c r="A2" s="3" t="s">
        <v>6</v>
      </c>
      <c r="B2" s="4">
        <v>576849472.08149779</v>
      </c>
      <c r="C2" s="5"/>
      <c r="D2" s="4">
        <v>27597046.524577219</v>
      </c>
      <c r="E2" s="5"/>
      <c r="F2" s="8">
        <v>277740.88555555558</v>
      </c>
      <c r="G2" s="10"/>
      <c r="H2" s="5"/>
      <c r="I2" s="6">
        <v>267032</v>
      </c>
      <c r="J2" s="6">
        <v>4432706.5199999996</v>
      </c>
    </row>
    <row r="3" spans="1:10" x14ac:dyDescent="0.25">
      <c r="A3" s="3" t="s">
        <v>7</v>
      </c>
      <c r="B3" s="4">
        <v>576853479.88575673</v>
      </c>
      <c r="C3" s="4">
        <f>B3-B$2</f>
        <v>4007.8042589426041</v>
      </c>
      <c r="D3" s="4">
        <v>27738560.02270747</v>
      </c>
      <c r="E3" s="4">
        <f>D3-D$2</f>
        <v>141513.49813025072</v>
      </c>
      <c r="F3" s="7">
        <v>277881.39694444451</v>
      </c>
      <c r="G3" s="7">
        <v>10212</v>
      </c>
      <c r="H3" s="9">
        <v>269152</v>
      </c>
      <c r="I3" s="6">
        <v>266906</v>
      </c>
      <c r="J3" s="6">
        <v>4428922.84</v>
      </c>
    </row>
    <row r="4" spans="1:10" x14ac:dyDescent="0.25">
      <c r="A4" s="3" t="s">
        <v>8</v>
      </c>
      <c r="B4" s="4">
        <v>577042817.95583272</v>
      </c>
      <c r="C4" s="4">
        <f>B4-B$2</f>
        <v>193345.87433493137</v>
      </c>
      <c r="D4" s="4">
        <v>27915089.280400202</v>
      </c>
      <c r="E4" s="4">
        <f t="shared" ref="C4:E5" si="0">D4-D$2</f>
        <v>318042.75582298264</v>
      </c>
      <c r="F4" s="6">
        <v>277436.07861111109</v>
      </c>
      <c r="G4" s="6"/>
      <c r="H4" s="6"/>
      <c r="I4" s="6">
        <v>265978</v>
      </c>
      <c r="J4" s="6">
        <v>4435347.9989999998</v>
      </c>
    </row>
    <row r="5" spans="1:10" x14ac:dyDescent="0.25">
      <c r="A5" s="3" t="s">
        <v>9</v>
      </c>
      <c r="B5" s="4">
        <v>576954629.6421262</v>
      </c>
      <c r="C5" s="4">
        <f t="shared" si="0"/>
        <v>105157.56062841415</v>
      </c>
      <c r="D5" s="4">
        <v>27805258.965537291</v>
      </c>
      <c r="E5" s="4">
        <f t="shared" si="0"/>
        <v>208212.44096007198</v>
      </c>
      <c r="F5" s="6">
        <v>277845.82666666672</v>
      </c>
      <c r="G5" s="6"/>
      <c r="H5" s="6"/>
      <c r="I5" s="6">
        <v>266274</v>
      </c>
      <c r="J5" s="6">
        <v>4437178.284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de Almeida Lima</dc:creator>
  <cp:lastModifiedBy>Eduardo de Almeida Lima</cp:lastModifiedBy>
  <dcterms:created xsi:type="dcterms:W3CDTF">2025-08-12T14:37:11Z</dcterms:created>
  <dcterms:modified xsi:type="dcterms:W3CDTF">2025-08-28T14:14:35Z</dcterms:modified>
</cp:coreProperties>
</file>